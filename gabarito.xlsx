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tierryferreira.ps\Documents\Operador de Máquinas Industriais\Fundamentos da mecânica\files\"/>
    </mc:Choice>
  </mc:AlternateContent>
  <bookViews>
    <workbookView xWindow="0" yWindow="0" windowWidth="23040" windowHeight="8688" tabRatio="500"/>
  </bookViews>
  <sheets>
    <sheet name="Gabarito" sheetId="1" r:id="rId1"/>
    <sheet name="Resumo por Tópico" sheetId="2" r:id="rId2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13" i="2" s="1"/>
  <c r="B5" i="2"/>
  <c r="B4" i="2"/>
  <c r="B3" i="2"/>
  <c r="B2" i="2"/>
</calcChain>
</file>

<file path=xl/sharedStrings.xml><?xml version="1.0" encoding="utf-8"?>
<sst xmlns="http://schemas.openxmlformats.org/spreadsheetml/2006/main" count="139" uniqueCount="82">
  <si>
    <t>Questão</t>
  </si>
  <si>
    <t>Resposta</t>
  </si>
  <si>
    <t>Texto da Alternativa Correta</t>
  </si>
  <si>
    <t>Resumo da Pergunta</t>
  </si>
  <si>
    <t>Tópico</t>
  </si>
  <si>
    <t>B</t>
  </si>
  <si>
    <t>Garantir a qualidade dos produtos através do controle de processos produtivos.</t>
  </si>
  <si>
    <t>Qual é a principal função da Metrologia Industrial?</t>
  </si>
  <si>
    <t>Metrologia</t>
  </si>
  <si>
    <t>A malha fechada utiliza realimentação (feedback) para corrigir desvios.</t>
  </si>
  <si>
    <t>Diferença entre malha aberta e malha fechada.</t>
  </si>
  <si>
    <t>Controle de Processos</t>
  </si>
  <si>
    <t>1500 mm</t>
  </si>
  <si>
    <t>Quantos milímetros existem em 1,5 metros?</t>
  </si>
  <si>
    <t>Conversão de Unidades</t>
  </si>
  <si>
    <t>D</t>
  </si>
  <si>
    <t>Reduzir o atrito entre partes móveis e suportar cargas.</t>
  </si>
  <si>
    <t>Qual a função básica de um rolamento?</t>
  </si>
  <si>
    <t>Rolamentos</t>
  </si>
  <si>
    <t>A</t>
  </si>
  <si>
    <t>Para exibir apenas os dados que atendem a critérios específicos determinados pelo usuário.</t>
  </si>
  <si>
    <t>Para que serve a função de Filtro no Excel?</t>
  </si>
  <si>
    <t>Excel</t>
  </si>
  <si>
    <t>Micrômetro.</t>
  </si>
  <si>
    <t>Instrumento para medições na ordem de centésimos/milésimos de mm.</t>
  </si>
  <si>
    <t>Instrumentos de Medição</t>
  </si>
  <si>
    <t>Entre 6 e 6,2.</t>
  </si>
  <si>
    <t>Faixa de pH ideal no difusor Dedini.</t>
  </si>
  <si>
    <t>Indústria Sucroalcooleira</t>
  </si>
  <si>
    <t>C</t>
  </si>
  <si>
    <t>Atuador.</t>
  </si>
  <si>
    <t>Componente responsável pela ação corretiva física no processo.</t>
  </si>
  <si>
    <t>Instrumentação</t>
  </si>
  <si>
    <t>Monitorar o estado do equipamento para prever quando a falha ocorrerá.</t>
  </si>
  <si>
    <t>Objetivo da Manutenção Preditiva.</t>
  </si>
  <si>
    <t>Manutenção</t>
  </si>
  <si>
    <t>Existe desalinhamento no eixo da máquina.</t>
  </si>
  <si>
    <t>Quando o Rolamento Autocompensador de Rolos é útil?</t>
  </si>
  <si>
    <t>A instrumentação foca no desenvolvimento e aplicação de instrumentos, enquanto a calibração compara o instrumento com um padrão para verificar sua precisão.</t>
  </si>
  <si>
    <t>Diferença entre instrumentação industrial e calibração.</t>
  </si>
  <si>
    <t>A vazão de vapor.</t>
  </si>
  <si>
    <t>Variável Manipulada no controle de temperatura via fluxo de vapor.</t>
  </si>
  <si>
    <t>Vinhaça.</t>
  </si>
  <si>
    <t>Subproduto da Fabricação de Álcool (Destilação).</t>
  </si>
  <si>
    <t>2.500.000 mm</t>
  </si>
  <si>
    <t>Conversão de 2,5 km para mm.</t>
  </si>
  <si>
    <t>O ponto de intersecção entre uma coluna e uma linha.</t>
  </si>
  <si>
    <t>Como é definida uma Célula no Excel.</t>
  </si>
  <si>
    <t>A produção é medida em unidades produtivas ou lotes separáveis.</t>
  </si>
  <si>
    <t>Definição de Processo Discreto.</t>
  </si>
  <si>
    <t>Tipos de Processos</t>
  </si>
  <si>
    <t>12,65 mm</t>
  </si>
  <si>
    <t>Leitura de micrômetro: bainha 12,5 mm + 15 div × 0,01 mm.</t>
  </si>
  <si>
    <t>Forjamento.</t>
  </si>
  <si>
    <t>Conformação de metal por golpes/pressão com matrizes.</t>
  </si>
  <si>
    <t>Fabricação Mecânica</t>
  </si>
  <si>
    <t>Pelo operador humano, baseado nas necessidades de produção.</t>
  </si>
  <si>
    <t>Quem determina o valor de Setpoint (SP).</t>
  </si>
  <si>
    <t>Suportar esforços paralelos ao eixo de rotação.</t>
  </si>
  <si>
    <t>Função principal do rolamento Axial.</t>
  </si>
  <si>
    <t>A vazão de vapor é a variável manipulada (MV) e a temperatura é a variável controlada (PV).</t>
  </si>
  <si>
    <t>Classificação de MV e PV em um trocador de calor.</t>
  </si>
  <si>
    <t>Açúcar VHP/Cristal e Álcool Anidro/Hidratado.</t>
  </si>
  <si>
    <t>Produtos finais de Fabricação de Açúcar e de Álcool.</t>
  </si>
  <si>
    <t>12.500 dm</t>
  </si>
  <si>
    <t>Conversão de 1,25 km para dm.</t>
  </si>
  <si>
    <t>Nônio ou Vernier.</t>
  </si>
  <si>
    <t>Componente do paquímetro que permite ler a fração da menor divisão.</t>
  </si>
  <si>
    <t>Processo Contínuo.</t>
  </si>
  <si>
    <t>Classificação de processo ininterrupto (ex.: refrigerantes).</t>
  </si>
  <si>
    <t>Álcool Anidro.</t>
  </si>
  <si>
    <t>Produto da etapa de Desidratação na Fabricação de Álcool.</t>
  </si>
  <si>
    <t>O Excel adiciona automaticamente filtros nos cabeçalhos e aplica um estilo visual listrado para facilitar a leitura.</t>
  </si>
  <si>
    <t>Efeito da Formatação como Tabela no Excel.</t>
  </si>
  <si>
    <t>Geração de Energia (Queima nas caldeiras).</t>
  </si>
  <si>
    <t>Destino do bagaço após a extração.</t>
  </si>
  <si>
    <t>O sinal de igual (=).</t>
  </si>
  <si>
    <t>Caractere obrigatório para iniciar fórmula no Excel.</t>
  </si>
  <si>
    <t>Lê-se os milímetros inteiros na régua fixa antes do zero do nônio e somam-se os centésimos indicados pelo traço do nônio que melhor se alinhar à régua fixa.</t>
  </si>
  <si>
    <t>Procedimento de leitura do paquímetro com resolução 0,05 mm.</t>
  </si>
  <si>
    <t>Quantidade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</si>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</sst>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zoomScaleNormal="100" workbookViewId="0">
      <pane ySplit="1" topLeftCell="A2" activePane="bottomLeft" state="frozen"/>
      <selection pane="bottomLeft" activeCell="A6" sqref="A6"/>
    </sheetView>
  </sheetViews>
  <sheetFormatPr defaultColWidth="8.6640625" defaultRowHeight="14.4" x14ac:dyDescent="0.3"/>
  <cols>
    <col min="1" max="1" width="10" customWidth="1"/>
    <col min="2" max="2" width="12" customWidth="1"/>
    <col min="3" max="3" width="70" customWidth="1"/>
    <col min="4" max="4" width="50" customWidth="1"/>
    <col min="5" max="5" width="25" customWidth="1"/>
  </cols>
  <sheetData>
    <row r="1" spans="1:5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.5" customHeight="1" x14ac:dyDescent="0.3">
      <c r="A2" s="2">
        <v>1</v>
      </c>
      <c r="B2" s="3" t="s">
        <v>5</v>
      </c>
      <c r="C2" s="4" t="s">
        <v>6</v>
      </c>
      <c r="D2" s="4" t="s">
        <v>7</v>
      </c>
      <c r="E2" s="2" t="s">
        <v>8</v>
      </c>
    </row>
    <row r="3" spans="1:5" ht="37.5" customHeight="1" x14ac:dyDescent="0.3">
      <c r="A3" s="5">
        <v>2</v>
      </c>
      <c r="B3" s="6" t="s">
        <v>5</v>
      </c>
      <c r="C3" s="7" t="s">
        <v>9</v>
      </c>
      <c r="D3" s="7" t="s">
        <v>10</v>
      </c>
      <c r="E3" s="5" t="s">
        <v>11</v>
      </c>
    </row>
    <row r="4" spans="1:5" ht="37.5" customHeight="1" x14ac:dyDescent="0.3">
      <c r="A4" s="2">
        <v>3</v>
      </c>
      <c r="B4" s="3" t="s">
        <v>5</v>
      </c>
      <c r="C4" s="4" t="s">
        <v>12</v>
      </c>
      <c r="D4" s="4" t="s">
        <v>13</v>
      </c>
      <c r="E4" s="2" t="s">
        <v>14</v>
      </c>
    </row>
    <row r="5" spans="1:5" ht="37.5" customHeight="1" x14ac:dyDescent="0.3">
      <c r="A5" s="5">
        <v>4</v>
      </c>
      <c r="B5" s="6" t="s">
        <v>15</v>
      </c>
      <c r="C5" s="7" t="s">
        <v>16</v>
      </c>
      <c r="D5" s="7" t="s">
        <v>17</v>
      </c>
      <c r="E5" s="5" t="s">
        <v>18</v>
      </c>
    </row>
    <row r="6" spans="1:5" ht="37.5" customHeight="1" x14ac:dyDescent="0.3">
      <c r="A6" s="2">
        <v>5</v>
      </c>
      <c r="B6" s="3" t="s">
        <v>19</v>
      </c>
      <c r="C6" s="4" t="s">
        <v>20</v>
      </c>
      <c r="D6" s="4" t="s">
        <v>21</v>
      </c>
      <c r="E6" s="2" t="s">
        <v>22</v>
      </c>
    </row>
    <row r="7" spans="1:5" ht="37.5" customHeight="1" x14ac:dyDescent="0.3">
      <c r="A7" s="5">
        <v>6</v>
      </c>
      <c r="B7" s="6" t="s">
        <v>15</v>
      </c>
      <c r="C7" s="7" t="s">
        <v>23</v>
      </c>
      <c r="D7" s="7" t="s">
        <v>24</v>
      </c>
      <c r="E7" s="5" t="s">
        <v>25</v>
      </c>
    </row>
    <row r="8" spans="1:5" ht="37.5" customHeight="1" x14ac:dyDescent="0.3">
      <c r="A8" s="2">
        <v>7</v>
      </c>
      <c r="B8" s="3" t="s">
        <v>15</v>
      </c>
      <c r="C8" s="4" t="s">
        <v>26</v>
      </c>
      <c r="D8" s="4" t="s">
        <v>27</v>
      </c>
      <c r="E8" s="2" t="s">
        <v>28</v>
      </c>
    </row>
    <row r="9" spans="1:5" ht="37.5" customHeight="1" x14ac:dyDescent="0.3">
      <c r="A9" s="5">
        <v>8</v>
      </c>
      <c r="B9" s="6" t="s">
        <v>29</v>
      </c>
      <c r="C9" s="7" t="s">
        <v>30</v>
      </c>
      <c r="D9" s="7" t="s">
        <v>31</v>
      </c>
      <c r="E9" s="5" t="s">
        <v>32</v>
      </c>
    </row>
    <row r="10" spans="1:5" ht="37.5" customHeight="1" x14ac:dyDescent="0.3">
      <c r="A10" s="2">
        <v>9</v>
      </c>
      <c r="B10" s="3" t="s">
        <v>15</v>
      </c>
      <c r="C10" s="4" t="s">
        <v>33</v>
      </c>
      <c r="D10" s="4" t="s">
        <v>34</v>
      </c>
      <c r="E10" s="2" t="s">
        <v>35</v>
      </c>
    </row>
    <row r="11" spans="1:5" ht="37.5" customHeight="1" x14ac:dyDescent="0.3">
      <c r="A11" s="5">
        <v>10</v>
      </c>
      <c r="B11" s="6" t="s">
        <v>15</v>
      </c>
      <c r="C11" s="7" t="s">
        <v>36</v>
      </c>
      <c r="D11" s="7" t="s">
        <v>37</v>
      </c>
      <c r="E11" s="5" t="s">
        <v>18</v>
      </c>
    </row>
    <row r="12" spans="1:5" ht="37.5" customHeight="1" x14ac:dyDescent="0.3">
      <c r="A12" s="2">
        <v>11</v>
      </c>
      <c r="B12" s="3" t="s">
        <v>19</v>
      </c>
      <c r="C12" s="4" t="s">
        <v>38</v>
      </c>
      <c r="D12" s="4" t="s">
        <v>39</v>
      </c>
      <c r="E12" s="2" t="s">
        <v>8</v>
      </c>
    </row>
    <row r="13" spans="1:5" ht="37.5" customHeight="1" x14ac:dyDescent="0.3">
      <c r="A13" s="5">
        <v>12</v>
      </c>
      <c r="B13" s="6" t="s">
        <v>19</v>
      </c>
      <c r="C13" s="7" t="s">
        <v>40</v>
      </c>
      <c r="D13" s="7" t="s">
        <v>41</v>
      </c>
      <c r="E13" s="5" t="s">
        <v>11</v>
      </c>
    </row>
    <row r="14" spans="1:5" ht="37.5" customHeight="1" x14ac:dyDescent="0.3">
      <c r="A14" s="2">
        <v>13</v>
      </c>
      <c r="B14" s="3" t="s">
        <v>19</v>
      </c>
      <c r="C14" s="4" t="s">
        <v>42</v>
      </c>
      <c r="D14" s="4" t="s">
        <v>43</v>
      </c>
      <c r="E14" s="2" t="s">
        <v>28</v>
      </c>
    </row>
    <row r="15" spans="1:5" ht="37.5" customHeight="1" x14ac:dyDescent="0.3">
      <c r="A15" s="5">
        <v>14</v>
      </c>
      <c r="B15" s="6" t="s">
        <v>19</v>
      </c>
      <c r="C15" s="7" t="s">
        <v>44</v>
      </c>
      <c r="D15" s="7" t="s">
        <v>45</v>
      </c>
      <c r="E15" s="5" t="s">
        <v>14</v>
      </c>
    </row>
    <row r="16" spans="1:5" ht="37.5" customHeight="1" x14ac:dyDescent="0.3">
      <c r="A16" s="2">
        <v>15</v>
      </c>
      <c r="B16" s="3" t="s">
        <v>5</v>
      </c>
      <c r="C16" s="4" t="s">
        <v>46</v>
      </c>
      <c r="D16" s="4" t="s">
        <v>47</v>
      </c>
      <c r="E16" s="2" t="s">
        <v>22</v>
      </c>
    </row>
    <row r="17" spans="1:5" ht="37.5" customHeight="1" x14ac:dyDescent="0.3">
      <c r="A17" s="5">
        <v>16</v>
      </c>
      <c r="B17" s="6" t="s">
        <v>5</v>
      </c>
      <c r="C17" s="7" t="s">
        <v>48</v>
      </c>
      <c r="D17" s="7" t="s">
        <v>49</v>
      </c>
      <c r="E17" s="5" t="s">
        <v>50</v>
      </c>
    </row>
    <row r="18" spans="1:5" ht="37.5" customHeight="1" x14ac:dyDescent="0.3">
      <c r="A18" s="2">
        <v>17</v>
      </c>
      <c r="B18" s="3" t="s">
        <v>29</v>
      </c>
      <c r="C18" s="4" t="s">
        <v>51</v>
      </c>
      <c r="D18" s="4" t="s">
        <v>52</v>
      </c>
      <c r="E18" s="2" t="s">
        <v>25</v>
      </c>
    </row>
    <row r="19" spans="1:5" ht="37.5" customHeight="1" x14ac:dyDescent="0.3">
      <c r="A19" s="5">
        <v>18</v>
      </c>
      <c r="B19" s="6" t="s">
        <v>15</v>
      </c>
      <c r="C19" s="7" t="s">
        <v>53</v>
      </c>
      <c r="D19" s="7" t="s">
        <v>54</v>
      </c>
      <c r="E19" s="5" t="s">
        <v>55</v>
      </c>
    </row>
    <row r="20" spans="1:5" ht="37.5" customHeight="1" x14ac:dyDescent="0.3">
      <c r="A20" s="2">
        <v>19</v>
      </c>
      <c r="B20" s="3" t="s">
        <v>15</v>
      </c>
      <c r="C20" s="4" t="s">
        <v>56</v>
      </c>
      <c r="D20" s="4" t="s">
        <v>57</v>
      </c>
      <c r="E20" s="2" t="s">
        <v>11</v>
      </c>
    </row>
    <row r="21" spans="1:5" ht="37.5" customHeight="1" x14ac:dyDescent="0.3">
      <c r="A21" s="5">
        <v>20</v>
      </c>
      <c r="B21" s="6" t="s">
        <v>19</v>
      </c>
      <c r="C21" s="7" t="s">
        <v>58</v>
      </c>
      <c r="D21" s="7" t="s">
        <v>59</v>
      </c>
      <c r="E21" s="5" t="s">
        <v>18</v>
      </c>
    </row>
    <row r="22" spans="1:5" ht="37.5" customHeight="1" x14ac:dyDescent="0.3">
      <c r="A22" s="2">
        <v>21</v>
      </c>
      <c r="B22" s="3" t="s">
        <v>15</v>
      </c>
      <c r="C22" s="4" t="s">
        <v>60</v>
      </c>
      <c r="D22" s="4" t="s">
        <v>61</v>
      </c>
      <c r="E22" s="2" t="s">
        <v>11</v>
      </c>
    </row>
    <row r="23" spans="1:5" ht="37.5" customHeight="1" x14ac:dyDescent="0.3">
      <c r="A23" s="5">
        <v>22</v>
      </c>
      <c r="B23" s="6" t="s">
        <v>29</v>
      </c>
      <c r="C23" s="7" t="s">
        <v>62</v>
      </c>
      <c r="D23" s="7" t="s">
        <v>63</v>
      </c>
      <c r="E23" s="5" t="s">
        <v>28</v>
      </c>
    </row>
    <row r="24" spans="1:5" ht="37.5" customHeight="1" x14ac:dyDescent="0.3">
      <c r="A24" s="2">
        <v>23</v>
      </c>
      <c r="B24" s="3" t="s">
        <v>5</v>
      </c>
      <c r="C24" s="4" t="s">
        <v>64</v>
      </c>
      <c r="D24" s="4" t="s">
        <v>65</v>
      </c>
      <c r="E24" s="2" t="s">
        <v>14</v>
      </c>
    </row>
    <row r="25" spans="1:5" ht="37.5" customHeight="1" x14ac:dyDescent="0.3">
      <c r="A25" s="5">
        <v>24</v>
      </c>
      <c r="B25" s="6" t="s">
        <v>5</v>
      </c>
      <c r="C25" s="7" t="s">
        <v>66</v>
      </c>
      <c r="D25" s="7" t="s">
        <v>67</v>
      </c>
      <c r="E25" s="5" t="s">
        <v>25</v>
      </c>
    </row>
    <row r="26" spans="1:5" ht="37.5" customHeight="1" x14ac:dyDescent="0.3">
      <c r="A26" s="2">
        <v>25</v>
      </c>
      <c r="B26" s="3" t="s">
        <v>29</v>
      </c>
      <c r="C26" s="4" t="s">
        <v>68</v>
      </c>
      <c r="D26" s="4" t="s">
        <v>69</v>
      </c>
      <c r="E26" s="2" t="s">
        <v>50</v>
      </c>
    </row>
    <row r="27" spans="1:5" ht="37.5" customHeight="1" x14ac:dyDescent="0.3">
      <c r="A27" s="5">
        <v>26</v>
      </c>
      <c r="B27" s="6" t="s">
        <v>5</v>
      </c>
      <c r="C27" s="7" t="s">
        <v>70</v>
      </c>
      <c r="D27" s="7" t="s">
        <v>71</v>
      </c>
      <c r="E27" s="5" t="s">
        <v>28</v>
      </c>
    </row>
    <row r="28" spans="1:5" ht="37.5" customHeight="1" x14ac:dyDescent="0.3">
      <c r="A28" s="2">
        <v>27</v>
      </c>
      <c r="B28" s="3" t="s">
        <v>29</v>
      </c>
      <c r="C28" s="4" t="s">
        <v>72</v>
      </c>
      <c r="D28" s="4" t="s">
        <v>73</v>
      </c>
      <c r="E28" s="2" t="s">
        <v>22</v>
      </c>
    </row>
    <row r="29" spans="1:5" ht="37.5" customHeight="1" x14ac:dyDescent="0.3">
      <c r="A29" s="5">
        <v>28</v>
      </c>
      <c r="B29" s="6" t="s">
        <v>5</v>
      </c>
      <c r="C29" s="7" t="s">
        <v>74</v>
      </c>
      <c r="D29" s="7" t="s">
        <v>75</v>
      </c>
      <c r="E29" s="5" t="s">
        <v>28</v>
      </c>
    </row>
    <row r="30" spans="1:5" ht="37.5" customHeight="1" x14ac:dyDescent="0.3">
      <c r="A30" s="2">
        <v>29</v>
      </c>
      <c r="B30" s="3" t="s">
        <v>19</v>
      </c>
      <c r="C30" s="4" t="s">
        <v>76</v>
      </c>
      <c r="D30" s="4" t="s">
        <v>77</v>
      </c>
      <c r="E30" s="2" t="s">
        <v>22</v>
      </c>
    </row>
    <row r="31" spans="1:5" ht="37.5" customHeight="1" x14ac:dyDescent="0.3">
      <c r="A31" s="5">
        <v>30</v>
      </c>
      <c r="B31" s="6" t="s">
        <v>5</v>
      </c>
      <c r="C31" s="7" t="s">
        <v>78</v>
      </c>
      <c r="D31" s="7" t="s">
        <v>79</v>
      </c>
      <c r="E31" s="5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14" customWidth="1"/>
  </cols>
  <sheetData>
    <row r="1" spans="1:2" ht="27.75" customHeight="1" x14ac:dyDescent="0.3">
      <c r="A1" s="1" t="s">
        <v>4</v>
      </c>
      <c r="B1" s="1" t="s">
        <v>80</v>
      </c>
    </row>
    <row r="2" spans="1:2" x14ac:dyDescent="0.3">
      <c r="A2" s="8" t="s">
        <v>11</v>
      </c>
      <c r="B2" s="2">
        <f>COUNTIF(Gabarito!E:E,A2)</f>
        <v>4</v>
      </c>
    </row>
    <row r="3" spans="1:2" x14ac:dyDescent="0.3">
      <c r="A3" s="9" t="s">
        <v>14</v>
      </c>
      <c r="B3" s="5">
        <f>COUNTIF(Gabarito!E:E,A3)</f>
        <v>3</v>
      </c>
    </row>
    <row r="4" spans="1:2" x14ac:dyDescent="0.3">
      <c r="A4" s="8" t="s">
        <v>22</v>
      </c>
      <c r="B4" s="2">
        <f>COUNTIF(Gabarito!E:E,A4)</f>
        <v>4</v>
      </c>
    </row>
    <row r="5" spans="1:2" x14ac:dyDescent="0.3">
      <c r="A5" s="9" t="s">
        <v>55</v>
      </c>
      <c r="B5" s="5">
        <f>COUNTIF(Gabarito!E:E,A5)</f>
        <v>1</v>
      </c>
    </row>
    <row r="6" spans="1:2" x14ac:dyDescent="0.3">
      <c r="A6" s="8" t="s">
        <v>28</v>
      </c>
      <c r="B6" s="2">
        <f>COUNTIF(Gabarito!E:E,A6)</f>
        <v>5</v>
      </c>
    </row>
    <row r="7" spans="1:2" x14ac:dyDescent="0.3">
      <c r="A7" s="9" t="s">
        <v>32</v>
      </c>
      <c r="B7" s="5">
        <f>COUNTIF(Gabarito!E:E,A7)</f>
        <v>1</v>
      </c>
    </row>
    <row r="8" spans="1:2" x14ac:dyDescent="0.3">
      <c r="A8" s="8" t="s">
        <v>25</v>
      </c>
      <c r="B8" s="2">
        <f>COUNTIF(Gabarito!E:E,A8)</f>
        <v>4</v>
      </c>
    </row>
    <row r="9" spans="1:2" x14ac:dyDescent="0.3">
      <c r="A9" s="9" t="s">
        <v>35</v>
      </c>
      <c r="B9" s="5">
        <f>COUNTIF(Gabarito!E:E,A9)</f>
        <v>1</v>
      </c>
    </row>
    <row r="10" spans="1:2" x14ac:dyDescent="0.3">
      <c r="A10" s="8" t="s">
        <v>8</v>
      </c>
      <c r="B10" s="2">
        <f>COUNTIF(Gabarito!E:E,A10)</f>
        <v>2</v>
      </c>
    </row>
    <row r="11" spans="1:2" x14ac:dyDescent="0.3">
      <c r="A11" s="9" t="s">
        <v>18</v>
      </c>
      <c r="B11" s="5">
        <f>COUNTIF(Gabarito!E:E,A11)</f>
        <v>3</v>
      </c>
    </row>
    <row r="12" spans="1:2" x14ac:dyDescent="0.3">
      <c r="A12" s="8" t="s">
        <v>50</v>
      </c>
      <c r="B12" s="2">
        <f>COUNTIF(Gabarito!E:E,A12)</f>
        <v>2</v>
      </c>
    </row>
    <row r="13" spans="1:2" x14ac:dyDescent="0.3">
      <c r="A13" s="10" t="s">
        <v>81</v>
      </c>
      <c r="B13" s="11">
        <f>SUM(B2:B12)</f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Gabarito</vt:lpstr>
      <vt:lpstr>Resumo por Tópico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GUTIERRY FERREIRA MORAES</cp:lastModifiedBy>
  <cp:revision>0</cp:revision>
  <dcterms:created xsi:type="dcterms:W3CDTF">2026-05-04T13:02:57Z</dcterms:created>
  <dcterms:modified xsi:type="dcterms:W3CDTF">2026-05-04T17:39:35Z</dcterms:modified>
  <dc:language>en-US</dc:language>
</cp:coreProperties>
</file>